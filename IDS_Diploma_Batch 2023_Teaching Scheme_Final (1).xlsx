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exam\Exam-Management-Automation-System\"/>
    </mc:Choice>
  </mc:AlternateContent>
  <xr:revisionPtr revIDLastSave="0" documentId="13_ncr:1_{E9C451D8-A09B-4013-975A-178B50DB633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CV_2023" sheetId="1" r:id="rId1"/>
  </sheets>
  <definedNames>
    <definedName name="Z_823514F7_3C9E_354E_B9F4_FFFD8CC5B94C_.wvu.PrintArea" localSheetId="0">DCV_2023!$A$1:$J$20</definedName>
    <definedName name="Z_823514F7_3C9E_354E_B9F4_FFFD8CC5B94C_.wvu.PrintTitles" localSheetId="0">DCV_2023!$4:$6</definedName>
    <definedName name="Z_E5F050F3_1969_3942_9052_9D12E1BA81D2_.wvu.PrintArea" localSheetId="0">DCV_2023!$A$1:$J$20</definedName>
    <definedName name="Z_E5F050F3_1969_3942_9052_9D12E1BA81D2_.wvu.PrintTitles" localSheetId="0">DCV_2023!$4:$6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NJ7i+CdwgtMC+GplZWi8AFwwMSET2UfAd1STH5JpkuY="/>
    </ext>
  </extLst>
</workbook>
</file>

<file path=xl/calcChain.xml><?xml version="1.0" encoding="utf-8"?>
<calcChain xmlns="http://schemas.openxmlformats.org/spreadsheetml/2006/main">
  <c r="J51" i="1" l="1"/>
  <c r="J50" i="1"/>
  <c r="J49" i="1"/>
  <c r="J48" i="1"/>
  <c r="J47" i="1"/>
  <c r="J46" i="1"/>
  <c r="J44" i="1"/>
  <c r="J41" i="1"/>
  <c r="J40" i="1"/>
  <c r="J39" i="1"/>
  <c r="J38" i="1"/>
  <c r="J37" i="1"/>
  <c r="J36" i="1"/>
  <c r="J35" i="1"/>
  <c r="J32" i="1"/>
  <c r="J31" i="1"/>
  <c r="J30" i="1"/>
  <c r="J29" i="1"/>
  <c r="J28" i="1"/>
  <c r="J26" i="1"/>
  <c r="J25" i="1"/>
  <c r="J24" i="1"/>
  <c r="J23" i="1"/>
  <c r="J22" i="1"/>
  <c r="J21" i="1"/>
  <c r="J19" i="1"/>
  <c r="J18" i="1"/>
  <c r="J17" i="1"/>
  <c r="J16" i="1"/>
  <c r="J15" i="1"/>
  <c r="J14" i="1"/>
  <c r="J12" i="1"/>
  <c r="J11" i="1"/>
  <c r="J10" i="1"/>
  <c r="J9" i="1"/>
  <c r="J8" i="1"/>
  <c r="J7" i="1"/>
</calcChain>
</file>

<file path=xl/sharedStrings.xml><?xml version="1.0" encoding="utf-8"?>
<sst xmlns="http://schemas.openxmlformats.org/spreadsheetml/2006/main" count="89" uniqueCount="85">
  <si>
    <t>TEACHING &amp; EXAMINATION SCHEME FOR DIPLOMA IN CIVIL ENGINEERING AY: 2023-24</t>
  </si>
  <si>
    <t>Sem</t>
  </si>
  <si>
    <t>Course Code</t>
  </si>
  <si>
    <t>Course Title</t>
  </si>
  <si>
    <t>Examination Scheme</t>
  </si>
  <si>
    <t>Theory</t>
  </si>
  <si>
    <t>Practical</t>
  </si>
  <si>
    <t>Tutorial</t>
  </si>
  <si>
    <t>Total</t>
  </si>
  <si>
    <t>CE</t>
  </si>
  <si>
    <t>ESE</t>
  </si>
  <si>
    <t>IDSH1010</t>
  </si>
  <si>
    <t>Fundamentals of Mathematics</t>
  </si>
  <si>
    <t>IDSH1020</t>
  </si>
  <si>
    <t>Engineering Physics</t>
  </si>
  <si>
    <t>IDME1010</t>
  </si>
  <si>
    <t>Basics of Mechanical &amp; Civil Engineering</t>
  </si>
  <si>
    <t>IDCE1010</t>
  </si>
  <si>
    <t>Computer Applications</t>
  </si>
  <si>
    <t>IDME1020</t>
  </si>
  <si>
    <t>Engineering Workshop</t>
  </si>
  <si>
    <t>CFLS2110</t>
  </si>
  <si>
    <t>Elementary Communicative English-I</t>
  </si>
  <si>
    <t>IDSH1040</t>
  </si>
  <si>
    <t>Engineering Mathematics</t>
  </si>
  <si>
    <t>IDSH1050</t>
  </si>
  <si>
    <t>Fundamentals of Chemistry</t>
  </si>
  <si>
    <t>IDCV1010</t>
  </si>
  <si>
    <t>Engineering Mechanics</t>
  </si>
  <si>
    <t>IDIT1010</t>
  </si>
  <si>
    <t>Introduction to Computer Programming</t>
  </si>
  <si>
    <t>IDSH1110</t>
  </si>
  <si>
    <t>Electrical and Electronics Workshop</t>
  </si>
  <si>
    <t>CFLS2120</t>
  </si>
  <si>
    <t>Elementary Communicative English-II</t>
  </si>
  <si>
    <t>IDCV2110</t>
  </si>
  <si>
    <t>Building Materials &amp; Construction Technology</t>
  </si>
  <si>
    <t>IDCV2020</t>
  </si>
  <si>
    <t>Hydraulics</t>
  </si>
  <si>
    <t>IDCV2031</t>
  </si>
  <si>
    <t>Strength of Materials</t>
  </si>
  <si>
    <t>IDCV2040</t>
  </si>
  <si>
    <t>Surveying</t>
  </si>
  <si>
    <t>IDME2010</t>
  </si>
  <si>
    <t>Basics of Engineering Drawing</t>
  </si>
  <si>
    <t>CLSC2010</t>
  </si>
  <si>
    <t>Universal Human Values</t>
  </si>
  <si>
    <t>IDCV2120</t>
  </si>
  <si>
    <t>Concrete Technology</t>
  </si>
  <si>
    <t>IDCV2060</t>
  </si>
  <si>
    <t>Environmental Engineering</t>
  </si>
  <si>
    <t>IDCV2072</t>
  </si>
  <si>
    <t>Structural Analysis</t>
  </si>
  <si>
    <t>IDCV2080</t>
  </si>
  <si>
    <t>Transportation Engineering</t>
  </si>
  <si>
    <t>IDCV2090</t>
  </si>
  <si>
    <t>Soil Mechanics</t>
  </si>
  <si>
    <t>IDCV3010</t>
  </si>
  <si>
    <t>Estimation Costing &amp; Valuation</t>
  </si>
  <si>
    <t>IDCV3022</t>
  </si>
  <si>
    <t>Structural Design-I</t>
  </si>
  <si>
    <t>IDCV3031</t>
  </si>
  <si>
    <t>Irrigation Enginering &amp; Water Resource Management</t>
  </si>
  <si>
    <t>IDCV3040</t>
  </si>
  <si>
    <t>Construction Management</t>
  </si>
  <si>
    <t>IDCV3050</t>
  </si>
  <si>
    <t>Building Drawing</t>
  </si>
  <si>
    <t>IDCV3910</t>
  </si>
  <si>
    <t>Summer Training</t>
  </si>
  <si>
    <t>IDCV3750</t>
  </si>
  <si>
    <t>MOOC Course</t>
  </si>
  <si>
    <t>IDCV3063</t>
  </si>
  <si>
    <t>Structural Design-II</t>
  </si>
  <si>
    <t>TNPC3010</t>
  </si>
  <si>
    <t>Corporate Grooming &amp; Etiquette</t>
  </si>
  <si>
    <t>IDCV3930</t>
  </si>
  <si>
    <t>Project/Training</t>
  </si>
  <si>
    <t>IDCV3510</t>
  </si>
  <si>
    <t>Quality Control &amp; Monitoring</t>
  </si>
  <si>
    <t>IDCV3521</t>
  </si>
  <si>
    <t>Advance Surveying</t>
  </si>
  <si>
    <t>IDCV3531</t>
  </si>
  <si>
    <t>Foundation Engineering</t>
  </si>
  <si>
    <t>IDCV3541</t>
  </si>
  <si>
    <t>Highway &amp; Traffic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</si>
</sst>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20"/>
      <color theme="1"/>
      <name val="Cambria"/>
    </font>
    <font>
      <sz val="10"/>
      <name val="Arial"/>
    </font>
    <font>
      <sz val="10"/>
      <color theme="1"/>
      <name val="Cambria"/>
    </font>
    <font>
      <b/>
      <sz val="14"/>
      <color theme="1"/>
      <name val="Cambria"/>
    </font>
    <font>
      <b/>
      <sz val="12"/>
      <color theme="1"/>
      <name val="Cambria"/>
    </font>
    <font>
      <sz val="12"/>
      <color theme="1"/>
      <name val="Cambria"/>
    </font>
    <font>
      <sz val="12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4" xfId="0" applyFont="1" applyBorder="1" applyAlignme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2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4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A10" zoomScale="74" zoomScaleNormal="74" workbookViewId="0">
      <selection activeCell="C45" sqref="C45"/>
    </sheetView>
  </sheetViews>
  <sheetFormatPr defaultColWidth="12.6640625" defaultRowHeight="15" customHeight="1" x14ac:dyDescent="0.25"/>
  <cols>
    <col min="1" max="1" width="8.44140625" customWidth="1"/>
    <col min="2" max="2" width="11.44140625" customWidth="1"/>
    <col min="3" max="3" width="45.44140625" customWidth="1"/>
    <col min="4" max="10" width="9.44140625" customWidth="1"/>
    <col min="11" max="19" width="9.109375" customWidth="1"/>
  </cols>
  <sheetData>
    <row r="1" spans="1:19" ht="30" customHeight="1" x14ac:dyDescent="0.25">
      <c r="A1" s="25"/>
      <c r="B1" s="24"/>
      <c r="C1" s="24"/>
      <c r="D1" s="24"/>
      <c r="E1" s="24"/>
      <c r="F1" s="24"/>
      <c r="G1" s="24"/>
      <c r="H1" s="24"/>
      <c r="I1" s="24"/>
      <c r="J1" s="26"/>
      <c r="K1" s="1"/>
      <c r="L1" s="1"/>
      <c r="M1" s="1"/>
      <c r="N1" s="1"/>
      <c r="O1" s="1"/>
      <c r="P1" s="1"/>
      <c r="Q1" s="1"/>
      <c r="R1" s="1"/>
      <c r="S1" s="1"/>
    </row>
    <row r="2" spans="1:19" ht="30" customHeight="1" x14ac:dyDescent="0.25">
      <c r="A2" s="25"/>
      <c r="B2" s="24"/>
      <c r="C2" s="24"/>
      <c r="D2" s="24"/>
      <c r="E2" s="24"/>
      <c r="F2" s="24"/>
      <c r="G2" s="24"/>
      <c r="H2" s="24"/>
      <c r="I2" s="24"/>
      <c r="J2" s="26"/>
      <c r="K2" s="1"/>
      <c r="L2" s="1"/>
      <c r="M2" s="1"/>
      <c r="N2" s="1"/>
      <c r="O2" s="1"/>
      <c r="P2" s="1"/>
      <c r="Q2" s="1"/>
      <c r="R2" s="1"/>
      <c r="S2" s="1"/>
    </row>
    <row r="3" spans="1:19" ht="30" customHeight="1" x14ac:dyDescent="0.25">
      <c r="A3" s="27" t="s">
        <v>0</v>
      </c>
      <c r="B3" s="24"/>
      <c r="C3" s="24"/>
      <c r="D3" s="24"/>
      <c r="E3" s="24"/>
      <c r="F3" s="24"/>
      <c r="G3" s="24"/>
      <c r="H3" s="24"/>
      <c r="I3" s="24"/>
      <c r="J3" s="26"/>
      <c r="K3" s="1"/>
      <c r="L3" s="1"/>
      <c r="M3" s="1"/>
      <c r="N3" s="1"/>
      <c r="O3" s="1"/>
      <c r="P3" s="1"/>
      <c r="Q3" s="1"/>
      <c r="R3" s="1"/>
      <c r="S3" s="1"/>
    </row>
    <row r="4" spans="1:19" ht="30" customHeight="1" x14ac:dyDescent="0.25">
      <c r="A4" s="28" t="s">
        <v>1</v>
      </c>
      <c r="B4" s="28" t="s">
        <v>2</v>
      </c>
      <c r="C4" s="28" t="s">
        <v>3</v>
      </c>
      <c r="D4" s="30" t="s">
        <v>4</v>
      </c>
      <c r="E4" s="24"/>
      <c r="F4" s="24"/>
      <c r="G4" s="24"/>
      <c r="H4" s="24"/>
      <c r="I4" s="24"/>
      <c r="J4" s="26"/>
      <c r="K4" s="1"/>
      <c r="L4" s="1"/>
      <c r="M4" s="1"/>
      <c r="N4" s="1"/>
      <c r="O4" s="1"/>
      <c r="P4" s="1"/>
      <c r="Q4" s="1"/>
      <c r="R4" s="1"/>
      <c r="S4" s="1"/>
    </row>
    <row r="5" spans="1:19" ht="30" customHeight="1" x14ac:dyDescent="0.25">
      <c r="A5" s="22"/>
      <c r="B5" s="22"/>
      <c r="C5" s="22"/>
      <c r="D5" s="30" t="s">
        <v>5</v>
      </c>
      <c r="E5" s="26"/>
      <c r="F5" s="30" t="s">
        <v>6</v>
      </c>
      <c r="G5" s="26"/>
      <c r="H5" s="30" t="s">
        <v>7</v>
      </c>
      <c r="I5" s="26"/>
      <c r="J5" s="28" t="s">
        <v>8</v>
      </c>
      <c r="K5" s="1"/>
      <c r="L5" s="1"/>
      <c r="M5" s="1"/>
      <c r="N5" s="1"/>
      <c r="O5" s="1"/>
      <c r="P5" s="1"/>
      <c r="Q5" s="1"/>
      <c r="R5" s="1"/>
      <c r="S5" s="1"/>
    </row>
    <row r="6" spans="1:19" ht="30" customHeight="1" x14ac:dyDescent="0.25">
      <c r="A6" s="23"/>
      <c r="B6" s="23"/>
      <c r="C6" s="23"/>
      <c r="D6" s="2" t="s">
        <v>9</v>
      </c>
      <c r="E6" s="2" t="s">
        <v>10</v>
      </c>
      <c r="F6" s="2" t="s">
        <v>9</v>
      </c>
      <c r="G6" s="2" t="s">
        <v>10</v>
      </c>
      <c r="H6" s="2" t="s">
        <v>9</v>
      </c>
      <c r="I6" s="2" t="s">
        <v>10</v>
      </c>
      <c r="J6" s="23"/>
      <c r="K6" s="1"/>
      <c r="L6" s="1"/>
      <c r="M6" s="1"/>
      <c r="N6" s="1"/>
      <c r="O6" s="1"/>
      <c r="P6" s="1"/>
      <c r="Q6" s="1"/>
      <c r="R6" s="1"/>
      <c r="S6" s="1"/>
    </row>
    <row r="7" spans="1:19" ht="30" customHeight="1" x14ac:dyDescent="0.25">
      <c r="A7" s="21">
        <v>1</v>
      </c>
      <c r="B7" s="3" t="s">
        <v>11</v>
      </c>
      <c r="C7" s="4" t="s">
        <v>12</v>
      </c>
      <c r="D7" s="5">
        <v>40</v>
      </c>
      <c r="E7" s="5">
        <v>60</v>
      </c>
      <c r="F7" s="5">
        <v>0</v>
      </c>
      <c r="G7" s="5">
        <v>0</v>
      </c>
      <c r="H7" s="5">
        <v>50</v>
      </c>
      <c r="I7" s="5">
        <v>0</v>
      </c>
      <c r="J7" s="5">
        <f t="shared" ref="J7:J12" si="0">+SUM(D7:I7)</f>
        <v>150</v>
      </c>
      <c r="K7" s="6"/>
      <c r="L7" s="6"/>
      <c r="M7" s="6"/>
      <c r="N7" s="6"/>
      <c r="O7" s="6"/>
      <c r="P7" s="6"/>
      <c r="Q7" s="6"/>
      <c r="R7" s="6"/>
      <c r="S7" s="6"/>
    </row>
    <row r="8" spans="1:19" ht="30" customHeight="1" x14ac:dyDescent="0.25">
      <c r="A8" s="22"/>
      <c r="B8" s="3" t="s">
        <v>13</v>
      </c>
      <c r="C8" s="4" t="s">
        <v>14</v>
      </c>
      <c r="D8" s="7">
        <v>40</v>
      </c>
      <c r="E8" s="7">
        <v>60</v>
      </c>
      <c r="F8" s="7">
        <v>20</v>
      </c>
      <c r="G8" s="7">
        <v>30</v>
      </c>
      <c r="H8" s="7">
        <v>0</v>
      </c>
      <c r="I8" s="7">
        <v>0</v>
      </c>
      <c r="J8" s="5">
        <f t="shared" si="0"/>
        <v>150</v>
      </c>
      <c r="K8" s="6"/>
      <c r="L8" s="6"/>
      <c r="M8" s="6"/>
      <c r="N8" s="6"/>
      <c r="O8" s="6"/>
      <c r="P8" s="6"/>
      <c r="Q8" s="6"/>
      <c r="R8" s="6"/>
      <c r="S8" s="6"/>
    </row>
    <row r="9" spans="1:19" ht="30" customHeight="1" x14ac:dyDescent="0.25">
      <c r="A9" s="22"/>
      <c r="B9" s="3" t="s">
        <v>15</v>
      </c>
      <c r="C9" s="4" t="s">
        <v>16</v>
      </c>
      <c r="D9" s="7">
        <v>40</v>
      </c>
      <c r="E9" s="7">
        <v>60</v>
      </c>
      <c r="F9" s="7">
        <v>40</v>
      </c>
      <c r="G9" s="7">
        <v>60</v>
      </c>
      <c r="H9" s="7">
        <v>0</v>
      </c>
      <c r="I9" s="7">
        <v>0</v>
      </c>
      <c r="J9" s="5">
        <f t="shared" si="0"/>
        <v>200</v>
      </c>
      <c r="K9" s="6"/>
      <c r="L9" s="6"/>
      <c r="M9" s="6"/>
      <c r="N9" s="6"/>
      <c r="O9" s="6"/>
      <c r="P9" s="6"/>
      <c r="Q9" s="6"/>
      <c r="R9" s="6"/>
      <c r="S9" s="6"/>
    </row>
    <row r="10" spans="1:19" ht="30" customHeight="1" x14ac:dyDescent="0.25">
      <c r="A10" s="22"/>
      <c r="B10" s="3" t="s">
        <v>17</v>
      </c>
      <c r="C10" s="4" t="s">
        <v>18</v>
      </c>
      <c r="D10" s="7">
        <v>40</v>
      </c>
      <c r="E10" s="7">
        <v>60</v>
      </c>
      <c r="F10" s="7">
        <v>40</v>
      </c>
      <c r="G10" s="7">
        <v>60</v>
      </c>
      <c r="H10" s="7">
        <v>0</v>
      </c>
      <c r="I10" s="7">
        <v>0</v>
      </c>
      <c r="J10" s="5">
        <f t="shared" si="0"/>
        <v>200</v>
      </c>
      <c r="K10" s="6"/>
      <c r="L10" s="6"/>
      <c r="M10" s="6"/>
      <c r="N10" s="6"/>
      <c r="O10" s="6"/>
      <c r="P10" s="6"/>
      <c r="Q10" s="6"/>
      <c r="R10" s="6"/>
      <c r="S10" s="6"/>
    </row>
    <row r="11" spans="1:19" ht="30" customHeight="1" x14ac:dyDescent="0.25">
      <c r="A11" s="22"/>
      <c r="B11" s="3" t="s">
        <v>19</v>
      </c>
      <c r="C11" s="8" t="s">
        <v>20</v>
      </c>
      <c r="D11" s="10">
        <v>0</v>
      </c>
      <c r="E11" s="10">
        <v>0</v>
      </c>
      <c r="F11" s="10">
        <v>50</v>
      </c>
      <c r="G11" s="10">
        <v>0</v>
      </c>
      <c r="H11" s="10">
        <v>0</v>
      </c>
      <c r="I11" s="10">
        <v>0</v>
      </c>
      <c r="J11" s="5">
        <f t="shared" si="0"/>
        <v>50</v>
      </c>
      <c r="K11" s="6"/>
      <c r="L11" s="6"/>
      <c r="M11" s="6"/>
      <c r="N11" s="6"/>
      <c r="O11" s="6"/>
      <c r="P11" s="6"/>
      <c r="Q11" s="6"/>
      <c r="R11" s="6"/>
      <c r="S11" s="6"/>
    </row>
    <row r="12" spans="1:19" ht="30" customHeight="1" x14ac:dyDescent="0.25">
      <c r="A12" s="22"/>
      <c r="B12" s="4" t="s">
        <v>21</v>
      </c>
      <c r="C12" s="4" t="s">
        <v>22</v>
      </c>
      <c r="D12" s="10">
        <v>100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5">
        <f t="shared" si="0"/>
        <v>100</v>
      </c>
      <c r="K12" s="6"/>
      <c r="L12" s="6"/>
      <c r="M12" s="6"/>
      <c r="N12" s="6"/>
      <c r="O12" s="6"/>
      <c r="P12" s="6"/>
      <c r="Q12" s="6"/>
      <c r="R12" s="6"/>
      <c r="S12" s="6"/>
    </row>
    <row r="13" spans="1:19" ht="30" customHeight="1" x14ac:dyDescent="0.25">
      <c r="A13" s="23"/>
      <c r="B13" s="8"/>
      <c r="C13" s="8"/>
      <c r="D13" s="19"/>
      <c r="E13" s="24"/>
      <c r="F13" s="24"/>
      <c r="G13" s="24"/>
      <c r="H13" s="24"/>
      <c r="I13" s="26"/>
      <c r="J13" s="11"/>
      <c r="K13" s="6"/>
      <c r="L13" s="6"/>
      <c r="M13" s="6"/>
      <c r="N13" s="6"/>
      <c r="O13" s="6"/>
      <c r="P13" s="6"/>
      <c r="Q13" s="6"/>
      <c r="R13" s="6"/>
      <c r="S13" s="6"/>
    </row>
    <row r="14" spans="1:19" ht="30" customHeight="1" x14ac:dyDescent="0.25">
      <c r="A14" s="21">
        <v>2</v>
      </c>
      <c r="B14" s="12" t="s">
        <v>23</v>
      </c>
      <c r="C14" s="4" t="s">
        <v>24</v>
      </c>
      <c r="D14" s="5">
        <v>40</v>
      </c>
      <c r="E14" s="5">
        <v>60</v>
      </c>
      <c r="F14" s="5">
        <v>0</v>
      </c>
      <c r="G14" s="5">
        <v>0</v>
      </c>
      <c r="H14" s="5">
        <v>50</v>
      </c>
      <c r="I14" s="5">
        <v>0</v>
      </c>
      <c r="J14" s="5">
        <f t="shared" ref="J14:J19" si="1">+SUM(D14:I14)</f>
        <v>150</v>
      </c>
      <c r="K14" s="6"/>
      <c r="L14" s="6"/>
      <c r="M14" s="6"/>
      <c r="N14" s="6"/>
      <c r="O14" s="6"/>
      <c r="P14" s="6"/>
      <c r="Q14" s="6"/>
      <c r="R14" s="6"/>
      <c r="S14" s="6"/>
    </row>
    <row r="15" spans="1:19" ht="30" customHeight="1" x14ac:dyDescent="0.25">
      <c r="A15" s="22"/>
      <c r="B15" s="12" t="s">
        <v>25</v>
      </c>
      <c r="C15" s="8" t="s">
        <v>26</v>
      </c>
      <c r="D15" s="7">
        <v>40</v>
      </c>
      <c r="E15" s="7">
        <v>60</v>
      </c>
      <c r="F15" s="7">
        <v>20</v>
      </c>
      <c r="G15" s="7">
        <v>30</v>
      </c>
      <c r="H15" s="7">
        <v>0</v>
      </c>
      <c r="I15" s="7">
        <v>0</v>
      </c>
      <c r="J15" s="5">
        <f t="shared" si="1"/>
        <v>150</v>
      </c>
      <c r="K15" s="6"/>
      <c r="L15" s="6"/>
      <c r="M15" s="6"/>
      <c r="N15" s="6"/>
      <c r="O15" s="6"/>
      <c r="P15" s="6"/>
      <c r="Q15" s="6"/>
      <c r="R15" s="6"/>
      <c r="S15" s="6"/>
    </row>
    <row r="16" spans="1:19" ht="30" customHeight="1" x14ac:dyDescent="0.25">
      <c r="A16" s="22"/>
      <c r="B16" s="12" t="s">
        <v>27</v>
      </c>
      <c r="C16" s="12" t="s">
        <v>28</v>
      </c>
      <c r="D16" s="7">
        <v>40</v>
      </c>
      <c r="E16" s="7">
        <v>60</v>
      </c>
      <c r="F16" s="7">
        <v>20</v>
      </c>
      <c r="G16" s="7">
        <v>30</v>
      </c>
      <c r="H16" s="7">
        <v>0</v>
      </c>
      <c r="I16" s="7">
        <v>0</v>
      </c>
      <c r="J16" s="5">
        <f t="shared" si="1"/>
        <v>150</v>
      </c>
      <c r="K16" s="6"/>
      <c r="L16" s="6"/>
      <c r="M16" s="6"/>
      <c r="N16" s="6"/>
      <c r="O16" s="6"/>
      <c r="P16" s="6"/>
      <c r="Q16" s="6"/>
      <c r="R16" s="6"/>
      <c r="S16" s="6"/>
    </row>
    <row r="17" spans="1:19" ht="30" customHeight="1" x14ac:dyDescent="0.25">
      <c r="A17" s="22"/>
      <c r="B17" s="12" t="s">
        <v>29</v>
      </c>
      <c r="C17" s="8" t="s">
        <v>30</v>
      </c>
      <c r="D17" s="7">
        <v>40</v>
      </c>
      <c r="E17" s="7">
        <v>60</v>
      </c>
      <c r="F17" s="7">
        <v>40</v>
      </c>
      <c r="G17" s="7">
        <v>60</v>
      </c>
      <c r="H17" s="7">
        <v>0</v>
      </c>
      <c r="I17" s="7">
        <v>0</v>
      </c>
      <c r="J17" s="5">
        <f t="shared" si="1"/>
        <v>200</v>
      </c>
      <c r="K17" s="6"/>
      <c r="L17" s="6"/>
      <c r="M17" s="6"/>
      <c r="N17" s="6"/>
      <c r="O17" s="6"/>
      <c r="P17" s="6"/>
      <c r="Q17" s="6"/>
      <c r="R17" s="6"/>
      <c r="S17" s="6"/>
    </row>
    <row r="18" spans="1:19" ht="30" customHeight="1" x14ac:dyDescent="0.25">
      <c r="A18" s="22"/>
      <c r="B18" s="12" t="s">
        <v>31</v>
      </c>
      <c r="C18" s="8" t="s">
        <v>32</v>
      </c>
      <c r="D18" s="10">
        <v>0</v>
      </c>
      <c r="E18" s="10">
        <v>0</v>
      </c>
      <c r="F18" s="10">
        <v>50</v>
      </c>
      <c r="G18" s="10">
        <v>0</v>
      </c>
      <c r="H18" s="10">
        <v>0</v>
      </c>
      <c r="I18" s="10">
        <v>0</v>
      </c>
      <c r="J18" s="5">
        <f t="shared" si="1"/>
        <v>50</v>
      </c>
      <c r="K18" s="6"/>
      <c r="L18" s="6"/>
      <c r="M18" s="6"/>
      <c r="N18" s="6"/>
      <c r="O18" s="6"/>
      <c r="P18" s="6"/>
      <c r="Q18" s="6"/>
      <c r="R18" s="6"/>
      <c r="S18" s="6"/>
    </row>
    <row r="19" spans="1:19" ht="30" customHeight="1" x14ac:dyDescent="0.25">
      <c r="A19" s="22"/>
      <c r="B19" s="4" t="s">
        <v>33</v>
      </c>
      <c r="C19" s="4" t="s">
        <v>34</v>
      </c>
      <c r="D19" s="10">
        <v>100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5">
        <f t="shared" si="1"/>
        <v>100</v>
      </c>
      <c r="K19" s="6"/>
      <c r="L19" s="6"/>
      <c r="M19" s="6"/>
      <c r="N19" s="6"/>
      <c r="O19" s="6"/>
      <c r="P19" s="6"/>
      <c r="Q19" s="6"/>
      <c r="R19" s="6"/>
      <c r="S19" s="6"/>
    </row>
    <row r="20" spans="1:19" ht="30" customHeight="1" x14ac:dyDescent="0.25">
      <c r="A20" s="23"/>
      <c r="B20" s="3"/>
      <c r="C20" s="5"/>
      <c r="D20" s="19"/>
      <c r="E20" s="24"/>
      <c r="F20" s="24"/>
      <c r="G20" s="24"/>
      <c r="H20" s="24"/>
      <c r="I20" s="26"/>
      <c r="J20" s="11"/>
      <c r="K20" s="6"/>
      <c r="L20" s="6"/>
      <c r="M20" s="6"/>
      <c r="N20" s="6"/>
      <c r="O20" s="6"/>
      <c r="P20" s="6"/>
      <c r="Q20" s="6"/>
      <c r="R20" s="6"/>
      <c r="S20" s="6"/>
    </row>
    <row r="21" spans="1:19" ht="30" customHeight="1" x14ac:dyDescent="0.25">
      <c r="A21" s="21">
        <v>3</v>
      </c>
      <c r="B21" s="13" t="s">
        <v>35</v>
      </c>
      <c r="C21" s="4" t="s">
        <v>36</v>
      </c>
      <c r="D21" s="5">
        <v>40</v>
      </c>
      <c r="E21" s="5">
        <v>60</v>
      </c>
      <c r="F21" s="5">
        <v>100</v>
      </c>
      <c r="G21" s="5">
        <v>0</v>
      </c>
      <c r="H21" s="5">
        <v>0</v>
      </c>
      <c r="I21" s="5">
        <v>0</v>
      </c>
      <c r="J21" s="5">
        <f t="shared" ref="J21:J26" si="2">+SUM(D21:I21)</f>
        <v>200</v>
      </c>
      <c r="K21" s="6"/>
      <c r="L21" s="6"/>
      <c r="M21" s="6"/>
      <c r="N21" s="6"/>
      <c r="O21" s="6"/>
      <c r="P21" s="6"/>
      <c r="Q21" s="6"/>
      <c r="R21" s="6"/>
      <c r="S21" s="6"/>
    </row>
    <row r="22" spans="1:19" ht="30" customHeight="1" x14ac:dyDescent="0.25">
      <c r="A22" s="22"/>
      <c r="B22" s="12" t="s">
        <v>37</v>
      </c>
      <c r="C22" s="8" t="s">
        <v>38</v>
      </c>
      <c r="D22" s="7">
        <v>40</v>
      </c>
      <c r="E22" s="7">
        <v>60</v>
      </c>
      <c r="F22" s="7">
        <v>20</v>
      </c>
      <c r="G22" s="7">
        <v>30</v>
      </c>
      <c r="H22" s="7">
        <v>0</v>
      </c>
      <c r="I22" s="7">
        <v>0</v>
      </c>
      <c r="J22" s="5">
        <f t="shared" si="2"/>
        <v>150</v>
      </c>
      <c r="K22" s="6"/>
      <c r="L22" s="6"/>
      <c r="M22" s="6"/>
      <c r="N22" s="6"/>
      <c r="O22" s="6"/>
      <c r="P22" s="6"/>
      <c r="Q22" s="6"/>
      <c r="R22" s="6"/>
      <c r="S22" s="6"/>
    </row>
    <row r="23" spans="1:19" ht="30" customHeight="1" x14ac:dyDescent="0.25">
      <c r="A23" s="22"/>
      <c r="B23" s="12" t="s">
        <v>39</v>
      </c>
      <c r="C23" s="12" t="s">
        <v>40</v>
      </c>
      <c r="D23" s="7">
        <v>40</v>
      </c>
      <c r="E23" s="7">
        <v>60</v>
      </c>
      <c r="F23" s="7">
        <v>20</v>
      </c>
      <c r="G23" s="7">
        <v>30</v>
      </c>
      <c r="H23" s="7">
        <v>0</v>
      </c>
      <c r="I23" s="7">
        <v>0</v>
      </c>
      <c r="J23" s="5">
        <f t="shared" si="2"/>
        <v>150</v>
      </c>
      <c r="K23" s="6"/>
      <c r="L23" s="6"/>
      <c r="M23" s="6"/>
      <c r="N23" s="6"/>
      <c r="O23" s="6"/>
      <c r="P23" s="6"/>
      <c r="Q23" s="6"/>
      <c r="R23" s="6"/>
      <c r="S23" s="6"/>
    </row>
    <row r="24" spans="1:19" ht="30" customHeight="1" x14ac:dyDescent="0.25">
      <c r="A24" s="22"/>
      <c r="B24" s="12" t="s">
        <v>41</v>
      </c>
      <c r="C24" s="8" t="s">
        <v>42</v>
      </c>
      <c r="D24" s="10">
        <v>40</v>
      </c>
      <c r="E24" s="10">
        <v>60</v>
      </c>
      <c r="F24" s="10">
        <v>20</v>
      </c>
      <c r="G24" s="10">
        <v>30</v>
      </c>
      <c r="H24" s="10">
        <v>0</v>
      </c>
      <c r="I24" s="10">
        <v>0</v>
      </c>
      <c r="J24" s="5">
        <f t="shared" si="2"/>
        <v>150</v>
      </c>
      <c r="K24" s="6"/>
      <c r="L24" s="6"/>
      <c r="M24" s="6"/>
      <c r="N24" s="6"/>
      <c r="O24" s="6"/>
      <c r="P24" s="6"/>
      <c r="Q24" s="6"/>
      <c r="R24" s="6"/>
      <c r="S24" s="6"/>
    </row>
    <row r="25" spans="1:19" ht="30" customHeight="1" x14ac:dyDescent="0.25">
      <c r="A25" s="22"/>
      <c r="B25" s="6" t="s">
        <v>43</v>
      </c>
      <c r="C25" s="14" t="s">
        <v>44</v>
      </c>
      <c r="D25" s="15">
        <v>50</v>
      </c>
      <c r="E25" s="15">
        <v>0</v>
      </c>
      <c r="F25" s="16">
        <v>100</v>
      </c>
      <c r="G25" s="16">
        <v>0</v>
      </c>
      <c r="H25" s="15">
        <v>0</v>
      </c>
      <c r="I25" s="15">
        <v>0</v>
      </c>
      <c r="J25" s="5">
        <f t="shared" si="2"/>
        <v>150</v>
      </c>
      <c r="K25" s="6"/>
      <c r="L25" s="6"/>
      <c r="M25" s="6"/>
      <c r="N25" s="6"/>
      <c r="O25" s="6"/>
      <c r="P25" s="6"/>
      <c r="Q25" s="6"/>
      <c r="R25" s="6"/>
      <c r="S25" s="6"/>
    </row>
    <row r="26" spans="1:19" ht="30" customHeight="1" x14ac:dyDescent="0.25">
      <c r="A26" s="22"/>
      <c r="B26" s="6" t="s">
        <v>45</v>
      </c>
      <c r="C26" s="14" t="s">
        <v>46</v>
      </c>
      <c r="D26" s="15">
        <v>100</v>
      </c>
      <c r="E26" s="15">
        <v>0</v>
      </c>
      <c r="F26" s="16">
        <v>0</v>
      </c>
      <c r="G26" s="16">
        <v>0</v>
      </c>
      <c r="H26" s="15">
        <v>0</v>
      </c>
      <c r="I26" s="15">
        <v>0</v>
      </c>
      <c r="J26" s="5">
        <f t="shared" si="2"/>
        <v>100</v>
      </c>
      <c r="K26" s="6"/>
      <c r="L26" s="6"/>
      <c r="M26" s="6"/>
      <c r="N26" s="6"/>
      <c r="O26" s="6"/>
      <c r="P26" s="6"/>
      <c r="Q26" s="6"/>
      <c r="R26" s="6"/>
      <c r="S26" s="6"/>
    </row>
    <row r="27" spans="1:19" ht="30" customHeight="1" x14ac:dyDescent="0.25">
      <c r="A27" s="23"/>
      <c r="B27" s="19"/>
      <c r="C27" s="24"/>
      <c r="D27" s="19"/>
      <c r="E27" s="24"/>
      <c r="F27" s="24"/>
      <c r="G27" s="24"/>
      <c r="H27" s="24"/>
      <c r="I27" s="26"/>
      <c r="J27" s="11"/>
      <c r="K27" s="6"/>
      <c r="L27" s="6"/>
      <c r="M27" s="6"/>
      <c r="N27" s="6"/>
      <c r="O27" s="6"/>
      <c r="P27" s="6"/>
      <c r="Q27" s="6"/>
      <c r="R27" s="6"/>
      <c r="S27" s="6"/>
    </row>
    <row r="28" spans="1:19" ht="30" customHeight="1" x14ac:dyDescent="0.25">
      <c r="A28" s="21">
        <v>4</v>
      </c>
      <c r="B28" s="13" t="s">
        <v>47</v>
      </c>
      <c r="C28" s="12" t="s">
        <v>48</v>
      </c>
      <c r="D28" s="7">
        <v>40</v>
      </c>
      <c r="E28" s="7">
        <v>60</v>
      </c>
      <c r="F28" s="7">
        <v>20</v>
      </c>
      <c r="G28" s="7">
        <v>30</v>
      </c>
      <c r="H28" s="7">
        <v>0</v>
      </c>
      <c r="I28" s="7">
        <v>0</v>
      </c>
      <c r="J28" s="5">
        <f>+SUM(D28:I28)</f>
        <v>150</v>
      </c>
      <c r="K28" s="6"/>
      <c r="L28" s="6"/>
      <c r="M28" s="6"/>
      <c r="N28" s="6"/>
      <c r="O28" s="6"/>
      <c r="P28" s="6"/>
      <c r="Q28" s="6"/>
      <c r="R28" s="6"/>
      <c r="S28" s="6"/>
    </row>
    <row r="29" spans="1:19" ht="30" customHeight="1" x14ac:dyDescent="0.25">
      <c r="A29" s="22"/>
      <c r="B29" s="12" t="s">
        <v>49</v>
      </c>
      <c r="C29" s="12" t="s">
        <v>50</v>
      </c>
      <c r="D29" s="7">
        <v>40</v>
      </c>
      <c r="E29" s="7">
        <v>60</v>
      </c>
      <c r="F29" s="7">
        <v>20</v>
      </c>
      <c r="G29" s="7">
        <v>30</v>
      </c>
      <c r="H29" s="7">
        <v>0</v>
      </c>
      <c r="I29" s="7">
        <v>0</v>
      </c>
      <c r="J29" s="17">
        <f t="shared" ref="J29:J32" si="3">D29+E29+F29+G29+H29+I29</f>
        <v>150</v>
      </c>
      <c r="K29" s="6"/>
      <c r="L29" s="6"/>
      <c r="M29" s="6"/>
      <c r="N29" s="6"/>
      <c r="O29" s="6"/>
      <c r="P29" s="6"/>
      <c r="Q29" s="6"/>
      <c r="R29" s="6"/>
      <c r="S29" s="6"/>
    </row>
    <row r="30" spans="1:19" ht="30" customHeight="1" x14ac:dyDescent="0.25">
      <c r="A30" s="22"/>
      <c r="B30" s="12" t="s">
        <v>51</v>
      </c>
      <c r="C30" s="8" t="s">
        <v>52</v>
      </c>
      <c r="D30" s="7">
        <v>40</v>
      </c>
      <c r="E30" s="7">
        <v>60</v>
      </c>
      <c r="F30" s="7">
        <v>0</v>
      </c>
      <c r="G30" s="7">
        <v>0</v>
      </c>
      <c r="H30" s="7">
        <v>50</v>
      </c>
      <c r="I30" s="7">
        <v>0</v>
      </c>
      <c r="J30" s="17">
        <f t="shared" si="3"/>
        <v>150</v>
      </c>
      <c r="K30" s="6"/>
      <c r="L30" s="6"/>
      <c r="M30" s="6"/>
      <c r="N30" s="6"/>
      <c r="O30" s="6"/>
      <c r="P30" s="6"/>
      <c r="Q30" s="6"/>
      <c r="R30" s="6"/>
      <c r="S30" s="6"/>
    </row>
    <row r="31" spans="1:19" ht="30" customHeight="1" x14ac:dyDescent="0.25">
      <c r="A31" s="22"/>
      <c r="B31" s="12" t="s">
        <v>53</v>
      </c>
      <c r="C31" s="8" t="s">
        <v>54</v>
      </c>
      <c r="D31" s="7">
        <v>40</v>
      </c>
      <c r="E31" s="7">
        <v>60</v>
      </c>
      <c r="F31" s="7">
        <v>20</v>
      </c>
      <c r="G31" s="7">
        <v>30</v>
      </c>
      <c r="H31" s="7">
        <v>0</v>
      </c>
      <c r="I31" s="7">
        <v>0</v>
      </c>
      <c r="J31" s="17">
        <f t="shared" si="3"/>
        <v>150</v>
      </c>
      <c r="K31" s="6"/>
      <c r="L31" s="6"/>
      <c r="M31" s="6"/>
      <c r="N31" s="6"/>
      <c r="O31" s="6"/>
      <c r="P31" s="6"/>
      <c r="Q31" s="6"/>
      <c r="R31" s="6"/>
      <c r="S31" s="6"/>
    </row>
    <row r="32" spans="1:19" ht="30" customHeight="1" x14ac:dyDescent="0.25">
      <c r="A32" s="22"/>
      <c r="B32" s="12" t="s">
        <v>55</v>
      </c>
      <c r="C32" s="8" t="s">
        <v>56</v>
      </c>
      <c r="D32" s="7">
        <v>40</v>
      </c>
      <c r="E32" s="7">
        <v>60</v>
      </c>
      <c r="F32" s="7">
        <v>20</v>
      </c>
      <c r="G32" s="7">
        <v>30</v>
      </c>
      <c r="H32" s="7">
        <v>0</v>
      </c>
      <c r="I32" s="7">
        <v>0</v>
      </c>
      <c r="J32" s="17">
        <f t="shared" si="3"/>
        <v>150</v>
      </c>
      <c r="K32" s="6"/>
      <c r="L32" s="6"/>
      <c r="M32" s="6"/>
      <c r="N32" s="6"/>
      <c r="O32" s="6"/>
      <c r="P32" s="6"/>
      <c r="Q32" s="6"/>
      <c r="R32" s="6"/>
      <c r="S32" s="6"/>
    </row>
    <row r="33" spans="1:19" ht="30" customHeight="1" x14ac:dyDescent="0.25">
      <c r="A33" s="22"/>
      <c r="B33" s="12"/>
      <c r="C33" s="18"/>
      <c r="D33" s="10"/>
      <c r="E33" s="10"/>
      <c r="F33" s="10"/>
      <c r="G33" s="10"/>
      <c r="H33" s="10"/>
      <c r="I33" s="10"/>
      <c r="J33" s="9"/>
      <c r="K33" s="6"/>
      <c r="L33" s="6"/>
      <c r="M33" s="6"/>
      <c r="N33" s="6"/>
      <c r="O33" s="6"/>
      <c r="P33" s="6"/>
      <c r="Q33" s="6"/>
      <c r="R33" s="6"/>
      <c r="S33" s="6"/>
    </row>
    <row r="34" spans="1:19" ht="30" customHeight="1" x14ac:dyDescent="0.25">
      <c r="A34" s="23"/>
      <c r="B34" s="19"/>
      <c r="C34" s="24"/>
      <c r="D34" s="19"/>
      <c r="E34" s="24"/>
      <c r="F34" s="24"/>
      <c r="G34" s="24"/>
      <c r="H34" s="24"/>
      <c r="I34" s="26"/>
      <c r="J34" s="11"/>
      <c r="K34" s="6"/>
      <c r="L34" s="6"/>
      <c r="M34" s="6"/>
      <c r="N34" s="6"/>
      <c r="O34" s="6"/>
      <c r="P34" s="6"/>
      <c r="Q34" s="6"/>
      <c r="R34" s="6"/>
      <c r="S34" s="6"/>
    </row>
    <row r="35" spans="1:19" ht="30" customHeight="1" x14ac:dyDescent="0.25">
      <c r="A35" s="21">
        <v>5</v>
      </c>
      <c r="B35" s="12" t="s">
        <v>57</v>
      </c>
      <c r="C35" s="4" t="s">
        <v>58</v>
      </c>
      <c r="D35" s="5">
        <v>40</v>
      </c>
      <c r="E35" s="5">
        <v>60</v>
      </c>
      <c r="F35" s="5">
        <v>0</v>
      </c>
      <c r="G35" s="5">
        <v>0</v>
      </c>
      <c r="H35" s="5">
        <v>50</v>
      </c>
      <c r="I35" s="5">
        <v>0</v>
      </c>
      <c r="J35" s="5">
        <f t="shared" ref="J35:J40" si="4">+SUM(D35:I35)</f>
        <v>150</v>
      </c>
      <c r="K35" s="6"/>
      <c r="L35" s="6"/>
      <c r="M35" s="6"/>
      <c r="N35" s="6"/>
      <c r="O35" s="6"/>
      <c r="P35" s="6"/>
      <c r="Q35" s="6"/>
      <c r="R35" s="6"/>
      <c r="S35" s="6"/>
    </row>
    <row r="36" spans="1:19" ht="30" customHeight="1" x14ac:dyDescent="0.25">
      <c r="A36" s="22"/>
      <c r="B36" s="12" t="s">
        <v>59</v>
      </c>
      <c r="C36" s="8" t="s">
        <v>60</v>
      </c>
      <c r="D36" s="7">
        <v>40</v>
      </c>
      <c r="E36" s="7">
        <v>60</v>
      </c>
      <c r="F36" s="5">
        <v>0</v>
      </c>
      <c r="G36" s="5">
        <v>0</v>
      </c>
      <c r="H36" s="5">
        <v>50</v>
      </c>
      <c r="I36" s="7">
        <v>0</v>
      </c>
      <c r="J36" s="5">
        <f t="shared" si="4"/>
        <v>150</v>
      </c>
      <c r="K36" s="6"/>
      <c r="L36" s="6"/>
      <c r="M36" s="6"/>
      <c r="N36" s="6"/>
      <c r="O36" s="6"/>
      <c r="P36" s="6"/>
      <c r="Q36" s="6"/>
      <c r="R36" s="6"/>
      <c r="S36" s="6"/>
    </row>
    <row r="37" spans="1:19" ht="30" customHeight="1" x14ac:dyDescent="0.25">
      <c r="A37" s="22"/>
      <c r="B37" s="12" t="s">
        <v>61</v>
      </c>
      <c r="C37" s="3" t="s">
        <v>62</v>
      </c>
      <c r="D37" s="7">
        <v>40</v>
      </c>
      <c r="E37" s="7">
        <v>60</v>
      </c>
      <c r="F37" s="5">
        <v>0</v>
      </c>
      <c r="G37" s="5">
        <v>0</v>
      </c>
      <c r="H37" s="5">
        <v>0</v>
      </c>
      <c r="I37" s="7">
        <v>0</v>
      </c>
      <c r="J37" s="5">
        <f t="shared" si="4"/>
        <v>100</v>
      </c>
      <c r="K37" s="6"/>
      <c r="L37" s="6"/>
      <c r="M37" s="6"/>
      <c r="N37" s="6"/>
      <c r="O37" s="6"/>
      <c r="P37" s="6"/>
      <c r="Q37" s="6"/>
      <c r="R37" s="6"/>
      <c r="S37" s="6"/>
    </row>
    <row r="38" spans="1:19" ht="30" customHeight="1" x14ac:dyDescent="0.25">
      <c r="A38" s="22"/>
      <c r="B38" s="12" t="s">
        <v>63</v>
      </c>
      <c r="C38" s="12" t="s">
        <v>64</v>
      </c>
      <c r="D38" s="7">
        <v>40</v>
      </c>
      <c r="E38" s="7">
        <v>60</v>
      </c>
      <c r="F38" s="7">
        <v>0</v>
      </c>
      <c r="G38" s="7">
        <v>0</v>
      </c>
      <c r="H38" s="7">
        <v>50</v>
      </c>
      <c r="I38" s="7">
        <v>0</v>
      </c>
      <c r="J38" s="5">
        <f t="shared" si="4"/>
        <v>150</v>
      </c>
      <c r="K38" s="6"/>
      <c r="L38" s="6"/>
      <c r="M38" s="6"/>
      <c r="N38" s="6"/>
      <c r="O38" s="6"/>
      <c r="P38" s="6"/>
      <c r="Q38" s="6"/>
      <c r="R38" s="6"/>
      <c r="S38" s="6"/>
    </row>
    <row r="39" spans="1:19" ht="30" customHeight="1" x14ac:dyDescent="0.25">
      <c r="A39" s="22"/>
      <c r="B39" s="12" t="s">
        <v>65</v>
      </c>
      <c r="C39" s="12" t="s">
        <v>66</v>
      </c>
      <c r="D39" s="7">
        <v>40</v>
      </c>
      <c r="E39" s="7">
        <v>60</v>
      </c>
      <c r="F39" s="7">
        <v>0</v>
      </c>
      <c r="G39" s="7">
        <v>0</v>
      </c>
      <c r="H39" s="7">
        <v>100</v>
      </c>
      <c r="I39" s="7">
        <v>0</v>
      </c>
      <c r="J39" s="5">
        <f t="shared" si="4"/>
        <v>200</v>
      </c>
      <c r="K39" s="6"/>
      <c r="L39" s="6"/>
      <c r="M39" s="6"/>
      <c r="N39" s="6"/>
      <c r="O39" s="6"/>
      <c r="P39" s="6"/>
      <c r="Q39" s="6"/>
      <c r="R39" s="6"/>
      <c r="S39" s="6"/>
    </row>
    <row r="40" spans="1:19" ht="30" customHeight="1" x14ac:dyDescent="0.25">
      <c r="A40" s="22"/>
      <c r="B40" s="18" t="s">
        <v>67</v>
      </c>
      <c r="C40" s="4" t="s">
        <v>68</v>
      </c>
      <c r="D40" s="16">
        <v>0</v>
      </c>
      <c r="E40" s="16">
        <v>0</v>
      </c>
      <c r="F40" s="16">
        <v>100</v>
      </c>
      <c r="G40" s="16">
        <v>0</v>
      </c>
      <c r="H40" s="16">
        <v>0</v>
      </c>
      <c r="I40" s="16">
        <v>0</v>
      </c>
      <c r="J40" s="5">
        <f t="shared" si="4"/>
        <v>100</v>
      </c>
      <c r="K40" s="6"/>
      <c r="L40" s="6"/>
      <c r="M40" s="6"/>
      <c r="N40" s="6"/>
      <c r="O40" s="6"/>
      <c r="P40" s="6"/>
      <c r="Q40" s="6"/>
      <c r="R40" s="6"/>
      <c r="S40" s="6"/>
    </row>
    <row r="41" spans="1:19" ht="30" customHeight="1" x14ac:dyDescent="0.25">
      <c r="A41" s="22"/>
      <c r="B41" s="18" t="s">
        <v>69</v>
      </c>
      <c r="C41" s="4" t="s">
        <v>70</v>
      </c>
      <c r="D41" s="9">
        <v>100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10">
        <f t="shared" ref="J41" si="5">SUM(D41:I41)</f>
        <v>100</v>
      </c>
      <c r="K41" s="6"/>
      <c r="L41" s="6"/>
      <c r="M41" s="6"/>
      <c r="N41" s="6"/>
      <c r="O41" s="6"/>
      <c r="P41" s="6"/>
      <c r="Q41" s="6"/>
      <c r="R41" s="6"/>
      <c r="S41" s="6"/>
    </row>
    <row r="42" spans="1:19" ht="30" customHeight="1" x14ac:dyDescent="0.25">
      <c r="A42" s="22"/>
      <c r="B42" s="18"/>
      <c r="C42" s="18"/>
      <c r="D42" s="10"/>
      <c r="E42" s="10"/>
      <c r="F42" s="10"/>
      <c r="G42" s="10"/>
      <c r="H42" s="10"/>
      <c r="I42" s="10"/>
      <c r="J42" s="9"/>
      <c r="K42" s="6"/>
      <c r="L42" s="6"/>
      <c r="M42" s="6"/>
      <c r="N42" s="6"/>
      <c r="O42" s="6"/>
      <c r="P42" s="6"/>
      <c r="Q42" s="6"/>
      <c r="R42" s="6"/>
      <c r="S42" s="6"/>
    </row>
    <row r="43" spans="1:19" ht="30" customHeight="1" x14ac:dyDescent="0.25">
      <c r="A43" s="23"/>
      <c r="B43" s="19"/>
      <c r="C43" s="20"/>
      <c r="D43" s="19"/>
      <c r="E43" s="29"/>
      <c r="F43" s="29"/>
      <c r="G43" s="29"/>
      <c r="H43" s="29"/>
      <c r="I43" s="20"/>
      <c r="J43" s="11"/>
      <c r="K43" s="6"/>
      <c r="L43" s="6"/>
      <c r="M43" s="6"/>
      <c r="N43" s="6"/>
      <c r="O43" s="6"/>
      <c r="P43" s="6"/>
      <c r="Q43" s="6"/>
      <c r="R43" s="6"/>
      <c r="S43" s="6"/>
    </row>
    <row r="44" spans="1:19" ht="30" customHeight="1" x14ac:dyDescent="0.25">
      <c r="A44" s="21">
        <v>6</v>
      </c>
      <c r="B44" s="12" t="s">
        <v>71</v>
      </c>
      <c r="C44" s="8" t="s">
        <v>72</v>
      </c>
      <c r="D44" s="5">
        <v>40</v>
      </c>
      <c r="E44" s="5">
        <v>60</v>
      </c>
      <c r="F44" s="5">
        <v>0</v>
      </c>
      <c r="G44" s="5">
        <v>0</v>
      </c>
      <c r="H44" s="5">
        <v>50</v>
      </c>
      <c r="I44" s="5">
        <v>0</v>
      </c>
      <c r="J44" s="5">
        <f t="shared" ref="J44:J47" si="6">+SUM(D44:I44)</f>
        <v>150</v>
      </c>
      <c r="K44" s="6"/>
      <c r="L44" s="6"/>
      <c r="M44" s="6"/>
      <c r="N44" s="6"/>
      <c r="O44" s="6"/>
      <c r="P44" s="6"/>
      <c r="Q44" s="6"/>
      <c r="R44" s="6"/>
      <c r="S44" s="6"/>
    </row>
    <row r="45" spans="1:19" ht="30" customHeight="1" x14ac:dyDescent="0.25">
      <c r="A45" s="22"/>
      <c r="B45" s="12"/>
      <c r="C45" s="4"/>
      <c r="D45" s="7"/>
      <c r="E45" s="7"/>
      <c r="F45" s="7"/>
      <c r="G45" s="7"/>
      <c r="H45" s="7"/>
      <c r="I45" s="7"/>
      <c r="J45" s="5"/>
      <c r="K45" s="6"/>
      <c r="L45" s="6"/>
      <c r="M45" s="6"/>
      <c r="N45" s="6"/>
      <c r="O45" s="6"/>
      <c r="P45" s="6"/>
      <c r="Q45" s="6"/>
      <c r="R45" s="6"/>
      <c r="S45" s="6"/>
    </row>
    <row r="46" spans="1:19" ht="30" customHeight="1" x14ac:dyDescent="0.25">
      <c r="A46" s="22"/>
      <c r="B46" s="12" t="s">
        <v>73</v>
      </c>
      <c r="C46" s="4" t="s">
        <v>74</v>
      </c>
      <c r="D46" s="7">
        <v>100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5">
        <f t="shared" si="6"/>
        <v>100</v>
      </c>
      <c r="K46" s="6"/>
      <c r="L46" s="6"/>
      <c r="M46" s="6"/>
      <c r="N46" s="6"/>
      <c r="O46" s="6"/>
      <c r="P46" s="6"/>
      <c r="Q46" s="6"/>
      <c r="R46" s="6"/>
      <c r="S46" s="6"/>
    </row>
    <row r="47" spans="1:19" ht="30" customHeight="1" x14ac:dyDescent="0.25">
      <c r="A47" s="22"/>
      <c r="B47" s="12" t="s">
        <v>75</v>
      </c>
      <c r="C47" s="4" t="s">
        <v>76</v>
      </c>
      <c r="D47" s="7">
        <v>0</v>
      </c>
      <c r="E47" s="7">
        <v>0</v>
      </c>
      <c r="F47" s="7">
        <v>200</v>
      </c>
      <c r="G47" s="7">
        <v>300</v>
      </c>
      <c r="H47" s="7">
        <v>0</v>
      </c>
      <c r="I47" s="7">
        <v>0</v>
      </c>
      <c r="J47" s="5">
        <f t="shared" si="6"/>
        <v>500</v>
      </c>
      <c r="K47" s="6"/>
      <c r="L47" s="6"/>
      <c r="M47" s="6"/>
      <c r="N47" s="6"/>
      <c r="O47" s="6"/>
      <c r="P47" s="6"/>
      <c r="Q47" s="6"/>
      <c r="R47" s="6"/>
      <c r="S47" s="6"/>
    </row>
    <row r="48" spans="1:19" ht="30" customHeight="1" x14ac:dyDescent="0.25">
      <c r="A48" s="22"/>
      <c r="B48" s="5" t="s">
        <v>77</v>
      </c>
      <c r="C48" s="3" t="s">
        <v>78</v>
      </c>
      <c r="D48" s="7">
        <v>40</v>
      </c>
      <c r="E48" s="7">
        <v>60</v>
      </c>
      <c r="F48" s="5">
        <v>0</v>
      </c>
      <c r="G48" s="5">
        <v>0</v>
      </c>
      <c r="H48" s="5">
        <v>0</v>
      </c>
      <c r="I48" s="7">
        <v>0</v>
      </c>
      <c r="J48" s="5">
        <f t="shared" ref="J48:J51" si="7">+SUM(D48:I48)</f>
        <v>100</v>
      </c>
      <c r="K48" s="1"/>
      <c r="L48" s="1"/>
      <c r="M48" s="1"/>
      <c r="N48" s="1"/>
      <c r="O48" s="1"/>
      <c r="P48" s="1"/>
      <c r="Q48" s="1"/>
      <c r="R48" s="1"/>
      <c r="S48" s="1"/>
    </row>
    <row r="49" spans="1:19" ht="30" customHeight="1" x14ac:dyDescent="0.25">
      <c r="A49" s="23"/>
      <c r="B49" s="5" t="s">
        <v>79</v>
      </c>
      <c r="C49" s="3" t="s">
        <v>80</v>
      </c>
      <c r="D49" s="7">
        <v>40</v>
      </c>
      <c r="E49" s="7">
        <v>60</v>
      </c>
      <c r="F49" s="5">
        <v>0</v>
      </c>
      <c r="G49" s="5">
        <v>0</v>
      </c>
      <c r="H49" s="5">
        <v>0</v>
      </c>
      <c r="I49" s="7">
        <v>0</v>
      </c>
      <c r="J49" s="5">
        <f t="shared" si="7"/>
        <v>100</v>
      </c>
      <c r="K49" s="1"/>
      <c r="L49" s="1"/>
      <c r="M49" s="1"/>
      <c r="N49" s="1"/>
      <c r="O49" s="1"/>
      <c r="P49" s="1"/>
      <c r="Q49" s="1"/>
      <c r="R49" s="1"/>
      <c r="S49" s="1"/>
    </row>
    <row r="50" spans="1:19" ht="30" customHeight="1" x14ac:dyDescent="0.25">
      <c r="A50" s="17">
        <v>6</v>
      </c>
      <c r="B50" s="5" t="s">
        <v>81</v>
      </c>
      <c r="C50" s="3" t="s">
        <v>82</v>
      </c>
      <c r="D50" s="7">
        <v>40</v>
      </c>
      <c r="E50" s="7">
        <v>60</v>
      </c>
      <c r="F50" s="5">
        <v>0</v>
      </c>
      <c r="G50" s="5">
        <v>0</v>
      </c>
      <c r="H50" s="5">
        <v>0</v>
      </c>
      <c r="I50" s="7">
        <v>0</v>
      </c>
      <c r="J50" s="5">
        <f t="shared" si="7"/>
        <v>100</v>
      </c>
      <c r="K50" s="1"/>
      <c r="L50" s="1"/>
      <c r="M50" s="1"/>
      <c r="N50" s="1"/>
      <c r="O50" s="1"/>
      <c r="P50" s="1"/>
      <c r="Q50" s="1"/>
      <c r="R50" s="1"/>
      <c r="S50" s="1"/>
    </row>
    <row r="51" spans="1:19" ht="30" customHeight="1" x14ac:dyDescent="0.25">
      <c r="A51" s="17">
        <v>6</v>
      </c>
      <c r="B51" s="5" t="s">
        <v>83</v>
      </c>
      <c r="C51" s="3" t="s">
        <v>84</v>
      </c>
      <c r="D51" s="7">
        <v>40</v>
      </c>
      <c r="E51" s="7">
        <v>60</v>
      </c>
      <c r="F51" s="5">
        <v>0</v>
      </c>
      <c r="G51" s="5">
        <v>0</v>
      </c>
      <c r="H51" s="5">
        <v>0</v>
      </c>
      <c r="I51" s="7">
        <v>0</v>
      </c>
      <c r="J51" s="5">
        <f t="shared" si="7"/>
        <v>100</v>
      </c>
      <c r="K51" s="1"/>
      <c r="L51" s="1"/>
      <c r="M51" s="1"/>
      <c r="N51" s="1"/>
      <c r="O51" s="1"/>
      <c r="P51" s="1"/>
      <c r="Q51" s="1"/>
      <c r="R51" s="1"/>
      <c r="S51" s="1"/>
    </row>
    <row r="52" spans="1:19" ht="30" customHeight="1" x14ac:dyDescent="0.25">
      <c r="A52" s="17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30" customHeight="1" x14ac:dyDescent="0.25">
      <c r="A53" s="17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30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30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30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30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30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30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30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30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30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30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30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30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30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30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30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30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30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30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30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30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30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30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30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30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30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30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30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30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30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30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30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30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30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30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30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30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30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30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30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30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30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30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30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30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30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30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30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30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30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30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30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30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30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30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30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30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30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30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30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30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30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30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30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30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30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30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30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30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30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30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30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30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30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30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30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30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30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30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30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30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30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30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30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30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30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30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30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30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30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30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30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30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30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30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30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30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30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30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30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30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30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30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30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30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30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30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30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30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30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30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30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30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30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30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30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30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30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30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30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30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30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30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30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30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30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30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30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30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30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30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30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30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30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30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30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30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30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30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30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30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30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30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30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30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30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30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30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30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30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30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30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30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30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30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30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30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30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30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30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30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30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30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30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30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30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30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30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30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30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30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30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30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30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30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30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30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30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30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30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30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30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30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30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30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30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30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30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30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30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30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30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30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30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30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30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30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30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30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30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30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30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30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30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30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30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30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30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30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30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30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30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30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30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30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30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30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30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30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30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30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30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30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30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30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30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30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30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30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30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30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30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30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30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30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30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30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30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30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30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30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30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30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30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30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30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30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30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30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30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30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30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30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30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30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30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30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30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30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30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30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30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30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30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30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30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30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30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30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30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30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30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30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30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30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30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30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30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30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30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30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30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30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30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30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30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30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30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30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30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30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30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30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30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30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30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30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30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30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30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30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30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30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30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30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30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30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30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30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30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30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30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30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30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30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30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30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30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30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30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30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30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30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30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30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30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30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30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30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30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30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30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30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30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30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30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30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30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30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30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30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30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30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30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30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30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30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30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30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30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30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30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30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30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30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30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30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30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30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30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30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30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30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30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30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30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30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30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30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30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30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30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30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30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30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30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30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30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30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30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30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30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30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30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30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30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30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30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30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30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30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30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30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30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30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30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30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30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30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30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30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30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30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30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30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30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30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30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30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30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30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30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30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30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30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30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30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30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30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30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30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30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30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30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30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30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30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30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30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30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30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30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30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30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30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30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30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30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30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30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30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30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30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30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30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30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30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30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30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30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30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30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30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30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30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30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30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30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30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30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30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30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30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30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30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30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30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30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30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30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30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30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30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30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30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30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30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30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30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30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30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30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30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30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30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30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30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30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30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30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30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30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30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30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30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30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30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30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30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30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30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30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30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30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30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30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30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30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30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30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30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30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30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30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30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30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30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30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30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30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30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30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30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30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30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30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30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30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30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30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30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30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30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30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30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30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30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30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30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30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30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30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30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30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30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30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30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30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30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30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30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30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30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30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30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30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30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30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30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30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30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30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30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30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30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30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30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30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30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30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30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30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30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30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30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30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30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30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30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30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30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30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30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30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30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30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30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30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30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30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30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30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30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30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30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30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30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30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30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30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30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30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30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30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30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30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30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30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30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30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30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30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30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30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30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30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30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30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30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30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30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30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30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30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30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30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30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30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30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30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30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30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30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30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30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30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30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30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30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30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30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30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30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30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30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30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30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30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30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30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30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30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30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30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30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30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30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30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30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30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30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30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30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30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30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30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30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30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30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30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30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30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30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30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30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30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30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30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30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30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30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30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30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30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30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30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30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30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30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30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30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30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30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30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30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30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30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30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30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30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30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30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30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30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30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30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30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30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30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30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30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30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30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30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30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30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30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30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30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30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30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30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30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30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30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30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30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30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30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30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30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30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30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30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30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30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30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30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30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30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30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30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30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30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30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30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30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30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30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30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30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30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30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30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30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30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30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30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30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30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30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30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30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30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30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30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30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30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30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30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30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30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30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30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30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30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30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30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30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30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30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30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30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30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30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30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30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30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30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30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30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30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30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30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30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30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30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30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30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30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30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30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30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30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30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30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30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30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30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30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30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30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30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30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30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30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30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30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30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30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30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30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30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30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30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30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30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30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30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30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30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30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30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30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30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30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30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30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30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30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30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30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30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30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30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30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30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30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30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30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30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30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30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30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30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30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30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30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30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30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30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30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30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30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30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30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30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30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30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30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30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30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30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30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30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30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30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30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30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30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30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30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30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30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30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30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30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30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30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30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30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30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30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30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30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30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30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30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30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30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30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30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30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30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30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30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30" customHeight="1" x14ac:dyDescent="0.25">
      <c r="A959" s="1"/>
    </row>
    <row r="960" spans="1:19" ht="30" customHeight="1" x14ac:dyDescent="0.25">
      <c r="A960" s="1"/>
    </row>
    <row r="961" ht="30" customHeight="1" x14ac:dyDescent="0.25"/>
    <row r="962" ht="30" customHeight="1" x14ac:dyDescent="0.25"/>
    <row r="963" ht="30" customHeight="1" x14ac:dyDescent="0.25"/>
    <row r="964" ht="30" customHeight="1" x14ac:dyDescent="0.25"/>
    <row r="965" ht="30" customHeight="1" x14ac:dyDescent="0.25"/>
    <row r="966" ht="30" customHeight="1" x14ac:dyDescent="0.25"/>
    <row r="967" ht="30" customHeight="1" x14ac:dyDescent="0.25"/>
    <row r="968" ht="30" customHeight="1" x14ac:dyDescent="0.25"/>
    <row r="969" ht="30" customHeight="1" x14ac:dyDescent="0.25"/>
    <row r="970" ht="30" customHeight="1" x14ac:dyDescent="0.25"/>
    <row r="971" ht="30" customHeight="1" x14ac:dyDescent="0.25"/>
    <row r="972" ht="30" customHeight="1" x14ac:dyDescent="0.25"/>
    <row r="973" ht="30" customHeight="1" x14ac:dyDescent="0.25"/>
    <row r="974" ht="30" customHeight="1" x14ac:dyDescent="0.25"/>
    <row r="975" ht="30" customHeight="1" x14ac:dyDescent="0.25"/>
    <row r="976" ht="30" customHeight="1" x14ac:dyDescent="0.25"/>
    <row r="977" ht="30" customHeight="1" x14ac:dyDescent="0.25"/>
    <row r="978" ht="30" customHeight="1" x14ac:dyDescent="0.25"/>
    <row r="979" ht="30" customHeight="1" x14ac:dyDescent="0.25"/>
    <row r="980" ht="30" customHeight="1" x14ac:dyDescent="0.25"/>
    <row r="981" ht="30" customHeight="1" x14ac:dyDescent="0.25"/>
    <row r="982" ht="30" customHeight="1" x14ac:dyDescent="0.25"/>
    <row r="983" ht="30" customHeight="1" x14ac:dyDescent="0.25"/>
    <row r="984" ht="30" customHeight="1" x14ac:dyDescent="0.25"/>
    <row r="985" ht="30" customHeight="1" x14ac:dyDescent="0.25"/>
    <row r="986" ht="30" customHeight="1" x14ac:dyDescent="0.25"/>
    <row r="987" ht="30" customHeight="1" x14ac:dyDescent="0.25"/>
    <row r="988" ht="30" customHeight="1" x14ac:dyDescent="0.25"/>
    <row r="989" ht="30" customHeight="1" x14ac:dyDescent="0.25"/>
    <row r="990" ht="30" customHeight="1" x14ac:dyDescent="0.25"/>
    <row r="991" ht="30" customHeight="1" x14ac:dyDescent="0.25"/>
    <row r="992" ht="30" customHeight="1" x14ac:dyDescent="0.25"/>
    <row r="993" ht="30" customHeight="1" x14ac:dyDescent="0.25"/>
    <row r="994" ht="30" customHeight="1" x14ac:dyDescent="0.25"/>
    <row r="995" ht="30" customHeight="1" x14ac:dyDescent="0.25"/>
    <row r="996" ht="30" customHeight="1" x14ac:dyDescent="0.25"/>
    <row r="997" ht="30" customHeight="1" x14ac:dyDescent="0.25"/>
    <row r="998" ht="30" customHeight="1" x14ac:dyDescent="0.25"/>
    <row r="999" ht="30" customHeight="1" x14ac:dyDescent="0.25"/>
    <row r="1000" ht="30" customHeight="1" x14ac:dyDescent="0.25"/>
  </sheetData>
  <mergeCells count="25">
    <mergeCell ref="A28:A34"/>
    <mergeCell ref="A35:A43"/>
    <mergeCell ref="A44:A49"/>
    <mergeCell ref="A7:A13"/>
    <mergeCell ref="H5:I5"/>
    <mergeCell ref="D13:I13"/>
    <mergeCell ref="D20:I20"/>
    <mergeCell ref="D27:I27"/>
    <mergeCell ref="A21:A27"/>
    <mergeCell ref="B43:C43"/>
    <mergeCell ref="A14:A20"/>
    <mergeCell ref="B27:C27"/>
    <mergeCell ref="B34:C34"/>
    <mergeCell ref="A1:J1"/>
    <mergeCell ref="A2:J2"/>
    <mergeCell ref="A3:J3"/>
    <mergeCell ref="A4:A6"/>
    <mergeCell ref="B4:B6"/>
    <mergeCell ref="C4:C6"/>
    <mergeCell ref="J5:J6"/>
    <mergeCell ref="D34:I34"/>
    <mergeCell ref="D43:I43"/>
    <mergeCell ref="D4:J4"/>
    <mergeCell ref="D5:E5"/>
    <mergeCell ref="F5:G5"/>
  </mergeCells>
  <printOptions horizontalCentered="1"/>
  <pageMargins left="0.19685039370078741" right="0.19685039370078741" top="0.39370078740157483" bottom="0.19685039370078741" header="0" footer="0"/>
  <pageSetup paperSize="9" orientation="landscape"/>
  <rowBreaks count="2" manualBreakCount="2">
    <brk id="34" man="1"/>
    <brk id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DCV_2023</vt:lpstr>
      <vt:lpstr>DCV_2023!Z_823514F7_3C9E_354E_B9F4_FFFD8CC5B94C_.wvu.PrintArea</vt:lpstr>
      <vt:lpstr>DCV_2023!Z_823514F7_3C9E_354E_B9F4_FFFD8CC5B94C_.wvu.PrintTitles</vt:lpstr>
      <vt:lpstr>DCV_2023!Z_E5F050F3_1969_3942_9052_9D12E1BA81D2_.wvu.PrintArea</vt:lpstr>
      <vt:lpstr>DCV_2023!Z_E5F050F3_1969_3942_9052_9D12E1BA81D2_.wvu.PrintTitles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YUG .</cp:lastModifiedBy>
  <dcterms:created xsi:type="dcterms:W3CDTF">2009-05-19T21:18:57Z</dcterms:created>
  <dcterms:modified xsi:type="dcterms:W3CDTF">2026-06-29T08:19:51Z</dcterms:modified>
</cp:coreProperties>
</file>